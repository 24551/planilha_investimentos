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97a4235a58bdf/Desktop/"/>
    </mc:Choice>
  </mc:AlternateContent>
  <xr:revisionPtr revIDLastSave="678" documentId="8_{0B6535BC-8081-43DF-95EA-0787730DEB29}" xr6:coauthVersionLast="47" xr6:coauthVersionMax="47" xr10:uidLastSave="{C3A8FBBE-E137-4D52-AACB-F9FD5BEDF362}"/>
  <bookViews>
    <workbookView xWindow="-108" yWindow="-108" windowWidth="23256" windowHeight="12456" xr2:uid="{97374F4D-5942-4E59-B3B9-8F6F8AC21661}"/>
  </bookViews>
  <sheets>
    <sheet name="Investimentos" sheetId="1" r:id="rId1"/>
    <sheet name="Planilha2" sheetId="2" state="hidden" r:id="rId2"/>
  </sheets>
  <definedNames>
    <definedName name="aporte">Investimentos!$E$23</definedName>
    <definedName name="patrimonio">Investimentos!$E$26</definedName>
    <definedName name="qtd_anos">Investimentos!$E$24</definedName>
    <definedName name="rendimento_carteira">Investimentos!$E$17</definedName>
    <definedName name="salario">Investimentos!$E$16</definedName>
    <definedName name="sugestao_investimento">Investimentos!$E$18</definedName>
    <definedName name="taxa_mensal">Investimentos!$E$25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E18" i="1"/>
  <c r="C42" i="1"/>
  <c r="C43" i="1"/>
  <c r="C44" i="1"/>
  <c r="C45" i="1"/>
  <c r="C46" i="1"/>
  <c r="C41" i="1"/>
  <c r="I8" i="2"/>
  <c r="B18" i="2"/>
  <c r="B19" i="2"/>
  <c r="B20" i="2"/>
  <c r="B21" i="2"/>
  <c r="B22" i="2"/>
  <c r="B17" i="2"/>
  <c r="B16" i="2"/>
  <c r="B15" i="2"/>
  <c r="B14" i="2"/>
  <c r="B13" i="2"/>
  <c r="B12" i="2"/>
  <c r="B11" i="2"/>
  <c r="B6" i="2"/>
  <c r="B7" i="2"/>
  <c r="B8" i="2"/>
  <c r="B9" i="2"/>
  <c r="B10" i="2"/>
  <c r="B5" i="2"/>
  <c r="C31" i="1"/>
  <c r="E31" i="1" s="1"/>
  <c r="C32" i="1"/>
  <c r="E32" i="1" s="1"/>
  <c r="C33" i="1"/>
  <c r="E33" i="1" s="1"/>
  <c r="C34" i="1"/>
  <c r="E34" i="1" s="1"/>
  <c r="C30" i="1"/>
  <c r="E30" i="1" s="1"/>
  <c r="E26" i="1"/>
  <c r="G9" i="1" l="1"/>
  <c r="E27" i="1"/>
  <c r="G3" i="1" s="1"/>
  <c r="E42" i="1"/>
  <c r="E43" i="1"/>
  <c r="E44" i="1"/>
  <c r="E45" i="1"/>
  <c r="E46" i="1"/>
  <c r="E41" i="1"/>
  <c r="E47" i="1" l="1"/>
</calcChain>
</file>

<file path=xl/sharedStrings.xml><?xml version="1.0" encoding="utf-8"?>
<sst xmlns="http://schemas.openxmlformats.org/spreadsheetml/2006/main" count="72" uniqueCount="37">
  <si>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</si>
  <si>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</si>
  <si>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</si>
  <si>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</si>
  <si>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</si>
  <si>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</si>
  <si>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</si>
  <si>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</si>
  <si>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</si>
  <si>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</si>
  <si>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</si>
  <si>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</si>
  <si>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</si>
  <si>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</si>
  <si>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Rendimento da carteira</t>
  </si>
  <si>
    <t>Salário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</si>
  <si>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</si>
  <si>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</si>
  <si>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</si>
  <si>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</si>
  <si>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</si>
  <si>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</si>
  <si>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</si>
  <si>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</si>
  <si>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</si>
  <si>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</si>
  <si>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</si>
  <si>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</si>
  <si>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Percentual</t>
  </si>
  <si>
    <t>CHAVE</t>
  </si>
  <si>
    <t>AGRESSIVO</t>
  </si>
  <si>
    <t>MODERADO</t>
  </si>
  <si>
    <t>MODERADO-TIJOLO</t>
  </si>
  <si>
    <t>Sugestão de investimento (30 % do valor do salário)</t>
  </si>
  <si>
    <t xml:space="preserve">PROJEÇÃO  MENSAL (APÓS 5 ANOS) </t>
  </si>
  <si>
    <t xml:space="preserve">PATRIMÔNIO (APÓS 5 ANOS) </t>
  </si>
  <si>
    <t>Desenvolvido por Michele | Baseado no modelo do Bootcamp Santander- Excel com IA e Claude |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</si>
</sst>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Biome Light"/>
      <family val="2"/>
    </font>
    <font>
      <b/>
      <sz val="13"/>
      <color theme="2"/>
      <name val="Biome Light"/>
      <family val="2"/>
    </font>
    <font>
      <b/>
      <sz val="13"/>
      <color theme="0"/>
      <name val="Biome Light"/>
      <family val="2"/>
    </font>
    <font>
      <b/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2AA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6" borderId="0" xfId="0" applyFill="1"/>
    <xf numFmtId="44" fontId="0" fillId="4" borderId="10" xfId="1" applyFont="1" applyFill="1" applyBorder="1"/>
    <xf numFmtId="0" fontId="6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4" borderId="9" xfId="0" applyFill="1" applyBorder="1" applyAlignment="1">
      <alignment horizontal="left" indent="2"/>
    </xf>
    <xf numFmtId="0" fontId="0" fillId="4" borderId="11" xfId="0" applyFill="1" applyBorder="1" applyAlignment="1">
      <alignment horizontal="left" indent="2"/>
    </xf>
    <xf numFmtId="0" fontId="0" fillId="4" borderId="13" xfId="0" applyFill="1" applyBorder="1" applyAlignment="1">
      <alignment horizontal="left" indent="2"/>
    </xf>
    <xf numFmtId="0" fontId="2" fillId="2" borderId="0" xfId="2" applyBorder="1" applyAlignment="1">
      <alignment horizontal="left" indent="2"/>
    </xf>
    <xf numFmtId="0" fontId="2" fillId="2" borderId="0" xfId="2"/>
    <xf numFmtId="0" fontId="0" fillId="7" borderId="0" xfId="0" applyFill="1"/>
    <xf numFmtId="44" fontId="0" fillId="7" borderId="0" xfId="0" applyNumberFormat="1" applyFill="1"/>
    <xf numFmtId="0" fontId="3" fillId="7" borderId="0" xfId="0" applyFont="1" applyFill="1"/>
    <xf numFmtId="9" fontId="0" fillId="0" borderId="0" xfId="0" applyNumberFormat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/>
    <xf numFmtId="44" fontId="3" fillId="8" borderId="0" xfId="0" applyNumberFormat="1" applyFont="1" applyFill="1"/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0" xfId="3" applyFont="1"/>
    <xf numFmtId="0" fontId="8" fillId="9" borderId="19" xfId="0" applyFont="1" applyFill="1" applyBorder="1" applyAlignment="1">
      <alignment horizontal="center" wrapText="1"/>
    </xf>
    <xf numFmtId="44" fontId="8" fillId="6" borderId="0" xfId="1" applyFont="1" applyFill="1" applyBorder="1" applyAlignment="1">
      <alignment horizontal="center"/>
    </xf>
    <xf numFmtId="0" fontId="10" fillId="0" borderId="0" xfId="0" applyFont="1"/>
    <xf numFmtId="44" fontId="0" fillId="0" borderId="4" xfId="1" applyFont="1" applyBorder="1" applyAlignment="1" applyProtection="1">
      <alignment horizontal="right"/>
      <protection locked="0"/>
    </xf>
    <xf numFmtId="164" fontId="0" fillId="0" borderId="6" xfId="0" applyNumberFormat="1" applyBorder="1" applyAlignment="1" applyProtection="1">
      <alignment horizontal="right"/>
      <protection locked="0"/>
    </xf>
    <xf numFmtId="44" fontId="0" fillId="7" borderId="8" xfId="0" applyNumberFormat="1" applyFill="1" applyBorder="1" applyAlignment="1">
      <alignment horizontal="right"/>
    </xf>
    <xf numFmtId="44" fontId="3" fillId="0" borderId="4" xfId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right"/>
      <protection locked="0"/>
    </xf>
    <xf numFmtId="10" fontId="3" fillId="0" borderId="8" xfId="0" applyNumberFormat="1" applyFont="1" applyBorder="1" applyAlignment="1" applyProtection="1">
      <alignment horizontal="right"/>
      <protection locked="0"/>
    </xf>
    <xf numFmtId="0" fontId="2" fillId="2" borderId="0" xfId="2" applyAlignment="1" applyProtection="1">
      <protection locked="0"/>
    </xf>
    <xf numFmtId="44" fontId="9" fillId="3" borderId="20" xfId="1" applyFont="1" applyFill="1" applyBorder="1" applyAlignment="1">
      <alignment horizontal="center"/>
    </xf>
    <xf numFmtId="44" fontId="9" fillId="3" borderId="21" xfId="1" applyFont="1" applyFill="1" applyBorder="1" applyAlignment="1">
      <alignment horizontal="center"/>
    </xf>
    <xf numFmtId="0" fontId="8" fillId="6" borderId="0" xfId="0" applyFont="1" applyFill="1" applyAlignment="1">
      <alignment horizontal="left" indent="2"/>
    </xf>
    <xf numFmtId="0" fontId="6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15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0" fillId="0" borderId="16" xfId="0" applyBorder="1" applyAlignment="1">
      <alignment horizontal="left" indent="2"/>
    </xf>
    <xf numFmtId="0" fontId="0" fillId="7" borderId="7" xfId="0" applyFill="1" applyBorder="1" applyAlignment="1">
      <alignment horizontal="left" indent="2"/>
    </xf>
    <xf numFmtId="0" fontId="0" fillId="7" borderId="17" xfId="0" applyFill="1" applyBorder="1" applyAlignment="1">
      <alignment horizontal="left" indent="2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0" borderId="7" xfId="0" applyBorder="1" applyAlignment="1">
      <alignment horizontal="left" indent="2"/>
    </xf>
    <xf numFmtId="0" fontId="0" fillId="0" borderId="17" xfId="0" applyBorder="1" applyAlignment="1">
      <alignment horizontal="left" indent="2"/>
    </xf>
    <xf numFmtId="0" fontId="3" fillId="8" borderId="0" xfId="0" applyFont="1" applyFill="1" applyAlignment="1">
      <alignment horizontal="center"/>
    </xf>
    <xf numFmtId="44" fontId="0" fillId="4" borderId="10" xfId="1" applyFont="1" applyFill="1" applyBorder="1" applyAlignment="1">
      <alignment horizontal="center"/>
    </xf>
    <xf numFmtId="44" fontId="0" fillId="4" borderId="9" xfId="1" applyFont="1" applyFill="1" applyBorder="1" applyAlignment="1">
      <alignment horizontal="center"/>
    </xf>
    <xf numFmtId="44" fontId="0" fillId="4" borderId="12" xfId="1" applyFont="1" applyFill="1" applyBorder="1" applyAlignment="1">
      <alignment horizontal="center"/>
    </xf>
    <xf numFmtId="44" fontId="0" fillId="4" borderId="11" xfId="1" applyFont="1" applyFill="1" applyBorder="1" applyAlignment="1">
      <alignment horizontal="center"/>
    </xf>
    <xf numFmtId="44" fontId="0" fillId="4" borderId="14" xfId="1" applyFont="1" applyFill="1" applyBorder="1" applyAlignment="1">
      <alignment horizontal="center"/>
    </xf>
    <xf numFmtId="44" fontId="0" fillId="4" borderId="13" xfId="1" applyFont="1" applyFill="1" applyBorder="1" applyAlignment="1">
      <alignment horizontal="center"/>
    </xf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colors>
    <mruColors>
      <color rgb="FFD2AA00"/>
      <color rgb="FFF2C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257597617742001"/>
          <c:y val="5.215123859191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433570803649546E-2"/>
          <c:y val="0.26017932729507076"/>
          <c:w val="0.53160795376768377"/>
          <c:h val="0.67756967517788602"/>
        </c:manualLayout>
      </c:layout>
      <c:pieChart>
        <c:varyColors val="1"/>
        <c:ser>
          <c:idx val="0"/>
          <c:order val="0"/>
          <c:tx>
            <c:strRef>
              <c:f>Investimentos!$C$40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4-4FEB-A3B9-844BF735B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4-4FEB-A3B9-844BF735B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4-4FEB-A3B9-844BF735B4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4-4FEB-A3B9-844BF735B4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54-4FEB-A3B9-844BF735B4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54-4FEB-A3B9-844BF735B4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54-4FEB-A3B9-844BF735B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Investimentos!$B$41:$B$47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Investimentos!$C$41:$C$47</c:f>
              <c:numCache>
                <c:formatCode>0%</c:formatCode>
                <c:ptCount val="7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0-48CE-840F-1D26378371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601980</xdr:colOff>
      <xdr:row>0</xdr:row>
      <xdr:rowOff>114301</xdr:rowOff>
    </xdr:from>
    <xdr:to>
      <xdr:col>4</xdr:col>
      <xdr:colOff>1645920</xdr:colOff>
      <xdr:row>13</xdr:row>
      <xdr:rowOff>76201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4B749B-0F35-3025-B1AA-0C4073221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493" b="8619"/>
        <a:stretch>
          <a:fillRect/>
        </a:stretch>
      </xdr:blipFill>
      <xdr:spPr>
        <a:xfrm>
          <a:off x="601980" y="114301"/>
          <a:ext cx="6713220" cy="2369820"/>
        </a:xfrm>
        <a:prstGeom prst="rect">
          <a:avLst/>
        </a:prstGeom>
      </xdr:spPr>
    </xdr:pic>
    <xdr:clientData/>
  </xdr:twoCellAnchor>
  <xdr:twoCellAnchor>
    <xdr:from>
      <xdr:col>1</xdr:col>
      <xdr:colOff>944880</xdr:colOff>
      <xdr:row>47</xdr:row>
      <xdr:rowOff>53340</xdr:rowOff>
    </xdr:from>
    <xdr:to>
      <xdr:col>3</xdr:col>
      <xdr:colOff>213360</xdr:colOff>
      <xdr:row>61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41056D-E09A-321E-1B50-52315AF8E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CE8B-61F9-4291-8358-D4315F29F1D0}">
  <sheetPr>
    <tabColor theme="4" tint="-0.249977111117893"/>
  </sheetPr>
  <dimension ref="A1:H78"/>
  <sheetViews>
    <sheetView showGridLines="0" showRowColHeaders="0" tabSelected="1" workbookViewId="0">
      <selection activeCell="E24" sqref="E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8.88671875" customWidth="1"/>
    <col min="2" max="2" width="28.109375" customWidth="1"/>
    <col min="3" max="3" width="31.5546875" bestFit="1" customWidth="1"/>
    <col min="4" max="4" width="14.109375" bestFit="1" customWidth="1"/>
    <col min="5" max="5" width="24.109375" customWidth="1"/>
    <col min="6" max="6" width="8.77734375" customWidth="1"/>
    <col min="7" max="7" width="33.33203125" bestFit="1" customWidth="1"/>
    <col min="8" max="8" width="4.109375" customWidth="1"/>
    <col min="9" max="16384" width="8.88671875" hidden="1"/>
  </cols>
  <sheetData>
    <row r="1" spans="2:7" ht="15" thickBot="1" x14ac:dyDescent="0.35"/>
    <row r="2" spans="2:7" x14ac:dyDescent="0.3">
      <c r="G2" s="23" t="s">
        <v>34</v>
      </c>
    </row>
    <row r="3" spans="2:7" x14ac:dyDescent="0.3">
      <c r="G3" s="33">
        <f>E27/(1+E19)^qtd_anos</f>
        <v>502.66148399092583</v>
      </c>
    </row>
    <row r="4" spans="2:7" x14ac:dyDescent="0.3">
      <c r="G4" s="33"/>
    </row>
    <row r="5" spans="2:7" ht="15" thickBot="1" x14ac:dyDescent="0.35">
      <c r="G5" s="34"/>
    </row>
    <row r="7" spans="2:7" ht="15" thickBot="1" x14ac:dyDescent="0.35"/>
    <row r="8" spans="2:7" x14ac:dyDescent="0.3">
      <c r="G8" s="23" t="s">
        <v>35</v>
      </c>
    </row>
    <row r="9" spans="2:7" x14ac:dyDescent="0.3">
      <c r="G9" s="33">
        <f>patrimonio</f>
        <v>83776.913998487638</v>
      </c>
    </row>
    <row r="10" spans="2:7" x14ac:dyDescent="0.3">
      <c r="G10" s="33"/>
    </row>
    <row r="11" spans="2:7" ht="15" thickBot="1" x14ac:dyDescent="0.35">
      <c r="G11" s="34"/>
    </row>
    <row r="14" spans="2:7" ht="12.6" customHeight="1" x14ac:dyDescent="0.3"/>
    <row r="15" spans="2:7" ht="24.6" x14ac:dyDescent="0.3">
      <c r="B15" s="43" t="s">
        <v>13</v>
      </c>
      <c r="C15" s="44"/>
      <c r="D15" s="44"/>
      <c r="E15" s="6"/>
    </row>
    <row r="16" spans="2:7" x14ac:dyDescent="0.3">
      <c r="B16" s="37" t="s">
        <v>15</v>
      </c>
      <c r="C16" s="38"/>
      <c r="D16" s="38"/>
      <c r="E16" s="26">
        <v>5000</v>
      </c>
    </row>
    <row r="17" spans="1:8" x14ac:dyDescent="0.3">
      <c r="B17" s="39" t="s">
        <v>14</v>
      </c>
      <c r="C17" s="40"/>
      <c r="D17" s="40"/>
      <c r="E17" s="27">
        <v>6.0000000000000001E-3</v>
      </c>
    </row>
    <row r="18" spans="1:8" x14ac:dyDescent="0.3">
      <c r="B18" s="41" t="s">
        <v>33</v>
      </c>
      <c r="C18" s="42"/>
      <c r="D18" s="42"/>
      <c r="E18" s="28">
        <f>E16*30%</f>
        <v>1500</v>
      </c>
    </row>
    <row r="19" spans="1:8" ht="13.8" customHeight="1" x14ac:dyDescent="0.3"/>
    <row r="20" spans="1:8" ht="10.8" customHeight="1" x14ac:dyDescent="0.3"/>
    <row r="21" spans="1:8" ht="0.6" hidden="1" customHeight="1" x14ac:dyDescent="0.3"/>
    <row r="22" spans="1:8" ht="38.4" customHeight="1" x14ac:dyDescent="0.3">
      <c r="B22" s="36" t="s">
        <v>5</v>
      </c>
      <c r="C22" s="36"/>
      <c r="D22" s="36"/>
      <c r="E22" s="5"/>
      <c r="H22" s="3"/>
    </row>
    <row r="23" spans="1:8" x14ac:dyDescent="0.3">
      <c r="B23" s="37" t="s">
        <v>0</v>
      </c>
      <c r="C23" s="38"/>
      <c r="D23" s="38"/>
      <c r="E23" s="29">
        <v>1000</v>
      </c>
    </row>
    <row r="24" spans="1:8" x14ac:dyDescent="0.3">
      <c r="B24" s="39" t="s">
        <v>1</v>
      </c>
      <c r="C24" s="40"/>
      <c r="D24" s="40"/>
      <c r="E24" s="30">
        <v>5</v>
      </c>
    </row>
    <row r="25" spans="1:8" x14ac:dyDescent="0.3">
      <c r="B25" s="45" t="s">
        <v>2</v>
      </c>
      <c r="C25" s="46"/>
      <c r="D25" s="46"/>
      <c r="E25" s="31">
        <v>1.0789999999999999E-2</v>
      </c>
    </row>
    <row r="26" spans="1:8" x14ac:dyDescent="0.3">
      <c r="B26" s="35" t="s">
        <v>3</v>
      </c>
      <c r="C26" s="35"/>
      <c r="D26" s="35"/>
      <c r="E26" s="24">
        <f>FV(E25,E24*12,E23*-1)</f>
        <v>83776.913998487638</v>
      </c>
    </row>
    <row r="27" spans="1:8" x14ac:dyDescent="0.3">
      <c r="B27" s="35" t="s">
        <v>4</v>
      </c>
      <c r="C27" s="35"/>
      <c r="D27" s="35"/>
      <c r="E27" s="24">
        <f>patrimonio*$E$17</f>
        <v>502.66148399092583</v>
      </c>
    </row>
    <row r="29" spans="1:8" ht="35.4" customHeight="1" x14ac:dyDescent="0.3">
      <c r="B29" s="36" t="s">
        <v>11</v>
      </c>
      <c r="C29" s="36"/>
      <c r="D29" s="36"/>
      <c r="E29" s="5" t="s">
        <v>12</v>
      </c>
    </row>
    <row r="30" spans="1:8" x14ac:dyDescent="0.3">
      <c r="A30" s="2">
        <v>2</v>
      </c>
      <c r="B30" s="7" t="s">
        <v>6</v>
      </c>
      <c r="C30" s="48">
        <f>FV($E$25,$A30*12,$E$23*-1)</f>
        <v>27227.627297645216</v>
      </c>
      <c r="D30" s="49"/>
      <c r="E30" s="4">
        <f>C30*$E$17</f>
        <v>163.36576378587131</v>
      </c>
      <c r="F30" s="1"/>
      <c r="G30" s="1"/>
    </row>
    <row r="31" spans="1:8" x14ac:dyDescent="0.3">
      <c r="A31" s="2">
        <v>5</v>
      </c>
      <c r="B31" s="8" t="s">
        <v>7</v>
      </c>
      <c r="C31" s="50">
        <f>FV($E$25,$A31*12,$E$23*-1)</f>
        <v>83776.913998487638</v>
      </c>
      <c r="D31" s="51"/>
      <c r="E31" s="4">
        <f>C31*$E$17</f>
        <v>502.66148399092583</v>
      </c>
    </row>
    <row r="32" spans="1:8" x14ac:dyDescent="0.3">
      <c r="A32" s="2">
        <v>10</v>
      </c>
      <c r="B32" s="8" t="s">
        <v>8</v>
      </c>
      <c r="C32" s="50">
        <f>FV($E$25,$A32*12,$E$23*-1)</f>
        <v>243284.2125301722</v>
      </c>
      <c r="D32" s="51"/>
      <c r="E32" s="4">
        <f>C32*$E$17</f>
        <v>1459.7052751810331</v>
      </c>
    </row>
    <row r="33" spans="1:5" x14ac:dyDescent="0.3">
      <c r="A33" s="2">
        <v>20</v>
      </c>
      <c r="B33" s="8" t="s">
        <v>9</v>
      </c>
      <c r="C33" s="50">
        <f>FV($E$25,$A33*12,$E$23*-1)</f>
        <v>1125198.4000970805</v>
      </c>
      <c r="D33" s="51"/>
      <c r="E33" s="4">
        <f>C33*$E$17</f>
        <v>6751.1904005824836</v>
      </c>
    </row>
    <row r="34" spans="1:5" x14ac:dyDescent="0.3">
      <c r="A34" s="2">
        <v>30</v>
      </c>
      <c r="B34" s="9" t="s">
        <v>10</v>
      </c>
      <c r="C34" s="52">
        <f>FV($E$25,$A34*12,$E$23*-1)</f>
        <v>4322169.6550047146</v>
      </c>
      <c r="D34" s="53"/>
      <c r="E34" s="4">
        <f>C34*$E$17</f>
        <v>25933.017930028287</v>
      </c>
    </row>
    <row r="37" spans="1:5" x14ac:dyDescent="0.3">
      <c r="B37" s="10" t="s">
        <v>16</v>
      </c>
      <c r="C37" s="11"/>
      <c r="D37" s="11"/>
      <c r="E37" s="32" t="s">
        <v>31</v>
      </c>
    </row>
    <row r="38" spans="1:5" x14ac:dyDescent="0.3">
      <c r="B38" s="14" t="s">
        <v>18</v>
      </c>
      <c r="C38" s="12"/>
      <c r="D38" s="12"/>
      <c r="E38" s="13">
        <f>aporte</f>
        <v>1000</v>
      </c>
    </row>
    <row r="40" spans="1:5" x14ac:dyDescent="0.3">
      <c r="B40" s="16" t="s">
        <v>19</v>
      </c>
      <c r="C40" s="16" t="s">
        <v>20</v>
      </c>
      <c r="D40" s="47" t="s">
        <v>21</v>
      </c>
      <c r="E40" s="47"/>
    </row>
    <row r="41" spans="1:5" x14ac:dyDescent="0.3">
      <c r="B41" s="1" t="s">
        <v>22</v>
      </c>
      <c r="C41" s="15">
        <f>VLOOKUP($E$37&amp;"-"&amp;B41,Planilha2!$B:$E,4,FALSE)</f>
        <v>0.32</v>
      </c>
      <c r="E41" s="13">
        <f t="shared" ref="E41:E46" si="0">C41*$E$38</f>
        <v>320</v>
      </c>
    </row>
    <row r="42" spans="1:5" x14ac:dyDescent="0.3">
      <c r="B42" s="1" t="s">
        <v>23</v>
      </c>
      <c r="C42" s="15">
        <f>VLOOKUP($E$37&amp;"-"&amp;B42,Planilha2!$B:$E,4,FALSE)</f>
        <v>0.35</v>
      </c>
      <c r="E42" s="13">
        <f t="shared" si="0"/>
        <v>350</v>
      </c>
    </row>
    <row r="43" spans="1:5" x14ac:dyDescent="0.3">
      <c r="B43" s="1" t="s">
        <v>24</v>
      </c>
      <c r="C43" s="15">
        <f>VLOOKUP($E$37&amp;"-"&amp;B43,Planilha2!$B:$E,4,FALSE)</f>
        <v>0.08</v>
      </c>
      <c r="E43" s="13">
        <f t="shared" si="0"/>
        <v>80</v>
      </c>
    </row>
    <row r="44" spans="1:5" x14ac:dyDescent="0.3">
      <c r="B44" s="1" t="s">
        <v>25</v>
      </c>
      <c r="C44" s="15">
        <f>VLOOKUP($E$37&amp;"-"&amp;B44,Planilha2!$B:$E,4,FALSE)</f>
        <v>0.05</v>
      </c>
      <c r="E44" s="13">
        <f t="shared" si="0"/>
        <v>50</v>
      </c>
    </row>
    <row r="45" spans="1:5" x14ac:dyDescent="0.3">
      <c r="B45" s="1" t="s">
        <v>26</v>
      </c>
      <c r="C45" s="15">
        <f>VLOOKUP($E$37&amp;"-"&amp;B45,Planilha2!$B:$E,4,FALSE)</f>
        <v>0.1</v>
      </c>
      <c r="E45" s="13">
        <f t="shared" si="0"/>
        <v>100</v>
      </c>
    </row>
    <row r="46" spans="1:5" x14ac:dyDescent="0.3">
      <c r="B46" s="1" t="s">
        <v>27</v>
      </c>
      <c r="C46" s="15">
        <f>VLOOKUP($E$37&amp;"-"&amp;B46,Planilha2!$B:$E,4,FALSE)</f>
        <v>0.1</v>
      </c>
      <c r="E46" s="13">
        <f t="shared" si="0"/>
        <v>100</v>
      </c>
    </row>
    <row r="47" spans="1:5" x14ac:dyDescent="0.3">
      <c r="B47" s="17"/>
      <c r="C47" s="17"/>
      <c r="D47" s="17"/>
      <c r="E47" s="18">
        <f>SUM(E41:E46)</f>
        <v>1000</v>
      </c>
    </row>
    <row r="64" spans="2:2" x14ac:dyDescent="0.3">
      <c r="B64" s="25" t="s">
        <v>36</v>
      </c>
    </row>
    <row r="65" customFormat="1" x14ac:dyDescent="0.3"/>
    <row r="66" customFormat="1" x14ac:dyDescent="0.3"/>
    <row r="67" customFormat="1" ht="28.2" customHeigh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</sheetData>
  <sheetProtection algorithmName="SHA-512" hashValue="SV3/1iqTMfBr019ujG/u5kKd2fNOl/aceA9QkaUGVOGBOUplzvvEr9CZvIaz52ZBnlHfZBL/jL03fuOW/VNPDA==" saltValue="nE4r3ShvbAqMN9mDMnCKzA==" spinCount="100000" sheet="1" formatCells="0" formatColumns="0" formatRows="0" insertColumns="0" insertRows="0" insertHyperlinks="0" deleteColumns="0" deleteRows="0" selectLockedCells="1" sort="0" autoFilter="0" pivotTables="0"/>
  <mergeCells count="19">
    <mergeCell ref="D40:E40"/>
    <mergeCell ref="C30:D30"/>
    <mergeCell ref="B29:D29"/>
    <mergeCell ref="C31:D31"/>
    <mergeCell ref="C32:D32"/>
    <mergeCell ref="C33:D33"/>
    <mergeCell ref="C34:D34"/>
    <mergeCell ref="G3:G5"/>
    <mergeCell ref="G9:G11"/>
    <mergeCell ref="B27:D27"/>
    <mergeCell ref="B22:D22"/>
    <mergeCell ref="B16:D16"/>
    <mergeCell ref="B17:D17"/>
    <mergeCell ref="B18:D18"/>
    <mergeCell ref="B15:D15"/>
    <mergeCell ref="B23:D23"/>
    <mergeCell ref="B24:D24"/>
    <mergeCell ref="B25:D25"/>
    <mergeCell ref="B26:D26"/>
  </mergeCells>
  <dataValidations count="1">
    <dataValidation type="list" allowBlank="1" showInputMessage="1" showErrorMessage="1" sqref="E37" xr:uid="{BEF2DBF4-78D3-4216-818E-DFCE366853F4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873F-0206-47BB-B89E-4B3ACAE7995E}">
  <dimension ref="B4:I22"/>
  <sheetViews>
    <sheetView workbookViewId="0">
      <selection activeCell="E15" sqref="E15"/>
    </sheetView>
  </sheetViews>
  <sheetFormatPr defaultRowHeight="14.4" x14ac:dyDescent="0.3"/>
  <cols>
    <col min="2" max="2" width="31.5546875" bestFit="1" customWidth="1"/>
    <col min="3" max="3" width="14" bestFit="1" customWidth="1"/>
    <col min="4" max="4" width="17.6640625" bestFit="1" customWidth="1"/>
    <col min="5" max="5" width="9.77734375" bestFit="1" customWidth="1"/>
  </cols>
  <sheetData>
    <row r="4" spans="2:9" x14ac:dyDescent="0.3">
      <c r="B4" t="s">
        <v>29</v>
      </c>
      <c r="D4" s="1" t="s">
        <v>19</v>
      </c>
      <c r="E4" t="s">
        <v>28</v>
      </c>
    </row>
    <row r="5" spans="2:9" x14ac:dyDescent="0.3">
      <c r="B5" t="str">
        <f>C5&amp;"-"&amp;D5</f>
        <v>CONSERVADOR-PAPEL</v>
      </c>
      <c r="C5" t="s">
        <v>17</v>
      </c>
      <c r="D5" s="1" t="s">
        <v>22</v>
      </c>
      <c r="E5" s="15">
        <v>0.3</v>
      </c>
    </row>
    <row r="6" spans="2:9" x14ac:dyDescent="0.3">
      <c r="B6" t="str">
        <f t="shared" ref="B6:B22" si="0">C6&amp;"-"&amp;D6</f>
        <v>CONSERVADOR-TIJOLO</v>
      </c>
      <c r="C6" t="s">
        <v>17</v>
      </c>
      <c r="D6" s="1" t="s">
        <v>23</v>
      </c>
      <c r="E6" s="15">
        <v>0.5</v>
      </c>
    </row>
    <row r="7" spans="2:9" x14ac:dyDescent="0.3">
      <c r="B7" t="str">
        <f t="shared" si="0"/>
        <v>CONSERVADOR-HÍBRIDOS</v>
      </c>
      <c r="C7" t="s">
        <v>17</v>
      </c>
      <c r="D7" s="1" t="s">
        <v>24</v>
      </c>
      <c r="E7" s="15">
        <v>0.1</v>
      </c>
    </row>
    <row r="8" spans="2:9" x14ac:dyDescent="0.3">
      <c r="B8" t="str">
        <f t="shared" si="0"/>
        <v>CONSERVADOR-FOFs</v>
      </c>
      <c r="C8" t="s">
        <v>17</v>
      </c>
      <c r="D8" s="1" t="s">
        <v>25</v>
      </c>
      <c r="E8" s="15">
        <v>0.1</v>
      </c>
      <c r="G8" t="s">
        <v>32</v>
      </c>
      <c r="I8" s="22">
        <f>VLOOKUP(G8,$B:$E,4,FALSE)</f>
        <v>0.35</v>
      </c>
    </row>
    <row r="9" spans="2:9" x14ac:dyDescent="0.3">
      <c r="B9" t="str">
        <f t="shared" si="0"/>
        <v>CONSERVADOR-DESENVOLVIMENTO</v>
      </c>
      <c r="C9" t="s">
        <v>17</v>
      </c>
      <c r="D9" s="1" t="s">
        <v>26</v>
      </c>
      <c r="E9" s="15">
        <v>0</v>
      </c>
    </row>
    <row r="10" spans="2:9" x14ac:dyDescent="0.3">
      <c r="B10" s="19" t="str">
        <f t="shared" si="0"/>
        <v>CONSERVADOR-HOTELARIA</v>
      </c>
      <c r="C10" s="19" t="s">
        <v>17</v>
      </c>
      <c r="D10" s="20" t="s">
        <v>27</v>
      </c>
      <c r="E10" s="21">
        <v>0</v>
      </c>
    </row>
    <row r="11" spans="2:9" x14ac:dyDescent="0.3">
      <c r="B11" t="str">
        <f t="shared" si="0"/>
        <v>MODERADO-PAPEL</v>
      </c>
      <c r="C11" t="s">
        <v>31</v>
      </c>
      <c r="D11" s="1" t="s">
        <v>22</v>
      </c>
      <c r="E11" s="15">
        <v>0.32</v>
      </c>
    </row>
    <row r="12" spans="2:9" x14ac:dyDescent="0.3">
      <c r="B12" t="str">
        <f t="shared" si="0"/>
        <v>MODERADO-TIJOLO</v>
      </c>
      <c r="C12" t="s">
        <v>31</v>
      </c>
      <c r="D12" s="1" t="s">
        <v>23</v>
      </c>
      <c r="E12" s="15">
        <v>0.35</v>
      </c>
    </row>
    <row r="13" spans="2:9" x14ac:dyDescent="0.3">
      <c r="B13" t="str">
        <f t="shared" si="0"/>
        <v>MODERADO-HÍBRIDOS</v>
      </c>
      <c r="C13" t="s">
        <v>31</v>
      </c>
      <c r="D13" s="1" t="s">
        <v>24</v>
      </c>
      <c r="E13" s="15">
        <v>0.08</v>
      </c>
    </row>
    <row r="14" spans="2:9" x14ac:dyDescent="0.3">
      <c r="B14" t="str">
        <f t="shared" si="0"/>
        <v>MODERADO-FOFs</v>
      </c>
      <c r="C14" t="s">
        <v>31</v>
      </c>
      <c r="D14" s="1" t="s">
        <v>25</v>
      </c>
      <c r="E14" s="15">
        <v>0.05</v>
      </c>
    </row>
    <row r="15" spans="2:9" x14ac:dyDescent="0.3">
      <c r="B15" t="str">
        <f t="shared" si="0"/>
        <v>MODERADO-DESENVOLVIMENTO</v>
      </c>
      <c r="C15" t="s">
        <v>31</v>
      </c>
      <c r="D15" s="1" t="s">
        <v>26</v>
      </c>
      <c r="E15" s="15">
        <v>0.1</v>
      </c>
    </row>
    <row r="16" spans="2:9" x14ac:dyDescent="0.3">
      <c r="B16" s="19" t="str">
        <f t="shared" si="0"/>
        <v>MODERADO-HOTELARIA</v>
      </c>
      <c r="C16" s="19" t="s">
        <v>31</v>
      </c>
      <c r="D16" s="20" t="s">
        <v>27</v>
      </c>
      <c r="E16" s="21">
        <v>0.1</v>
      </c>
    </row>
    <row r="17" spans="2:5" x14ac:dyDescent="0.3">
      <c r="B17" t="str">
        <f t="shared" si="0"/>
        <v>AGRESSIVO-PAPEL</v>
      </c>
      <c r="C17" t="s">
        <v>30</v>
      </c>
      <c r="D17" s="1" t="s">
        <v>22</v>
      </c>
      <c r="E17" s="15">
        <v>0.5</v>
      </c>
    </row>
    <row r="18" spans="2:5" x14ac:dyDescent="0.3">
      <c r="B18" t="str">
        <f t="shared" si="0"/>
        <v>AGRESSIVO-TIJOLO</v>
      </c>
      <c r="C18" t="s">
        <v>30</v>
      </c>
      <c r="D18" s="1" t="s">
        <v>23</v>
      </c>
      <c r="E18" s="15">
        <v>0.1</v>
      </c>
    </row>
    <row r="19" spans="2:5" x14ac:dyDescent="0.3">
      <c r="B19" t="str">
        <f t="shared" si="0"/>
        <v>AGRESSIVO-HÍBRIDOS</v>
      </c>
      <c r="C19" t="s">
        <v>30</v>
      </c>
      <c r="D19" s="1" t="s">
        <v>24</v>
      </c>
      <c r="E19" s="15">
        <v>0.05</v>
      </c>
    </row>
    <row r="20" spans="2:5" x14ac:dyDescent="0.3">
      <c r="B20" t="str">
        <f t="shared" si="0"/>
        <v>AGRESSIVO-FOFs</v>
      </c>
      <c r="C20" t="s">
        <v>30</v>
      </c>
      <c r="D20" s="1" t="s">
        <v>25</v>
      </c>
      <c r="E20" s="15">
        <v>0.05</v>
      </c>
    </row>
    <row r="21" spans="2:5" x14ac:dyDescent="0.3">
      <c r="B21" t="str">
        <f t="shared" si="0"/>
        <v>AGRESSIVO-DESENVOLVIMENTO</v>
      </c>
      <c r="C21" t="s">
        <v>30</v>
      </c>
      <c r="D21" s="1" t="s">
        <v>26</v>
      </c>
      <c r="E21" s="15">
        <v>0.2</v>
      </c>
    </row>
    <row r="22" spans="2:5" x14ac:dyDescent="0.3">
      <c r="B22" t="str">
        <f t="shared" si="0"/>
        <v>AGRESSIVO-HOTELARIA</v>
      </c>
      <c r="C22" t="s">
        <v>30</v>
      </c>
      <c r="D22" s="1" t="s">
        <v>27</v>
      </c>
      <c r="E22" s="1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Silva</dc:creator>
  <cp:lastModifiedBy>Michele Silva</cp:lastModifiedBy>
  <dcterms:created xsi:type="dcterms:W3CDTF">2026-10-16T17:56:04Z</dcterms:created>
  <dcterms:modified xsi:type="dcterms:W3CDTF">2026-10-17T17:31:17Z</dcterms:modified>
</cp:coreProperties>
</file>